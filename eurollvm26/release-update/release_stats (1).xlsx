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ulrho01/Downloads/"/>
    </mc:Choice>
  </mc:AlternateContent>
  <xr:revisionPtr revIDLastSave="0" documentId="13_ncr:1_{8EEAAD89-E2C2-8749-A1EE-C63A602F8482}" xr6:coauthVersionLast="47" xr6:coauthVersionMax="47" xr10:uidLastSave="{00000000-0000-0000-0000-000000000000}"/>
  <bookViews>
    <workbookView xWindow="0" yWindow="500" windowWidth="51200" windowHeight="28300" xr2:uid="{10CACE9B-E83D-D849-AACA-D6FAFA4105D1}"/>
  </bookViews>
  <sheets>
    <sheet name="summary" sheetId="2" r:id="rId1"/>
    <sheet name="data" sheetId="1" r:id="rId2"/>
  </sheets>
  <definedNames>
    <definedName name="_xlchart.v1.0" hidden="1">summary!$A$2:$A$4</definedName>
    <definedName name="_xlchart.v1.1" hidden="1">summary!$B$1</definedName>
    <definedName name="_xlchart.v1.10" hidden="1">summary!$A$2:$A$4</definedName>
    <definedName name="_xlchart.v1.11" hidden="1">summary!$B$1</definedName>
    <definedName name="_xlchart.v1.12" hidden="1">summary!$B$2:$B$4</definedName>
    <definedName name="_xlchart.v1.13" hidden="1">summary!$C$1</definedName>
    <definedName name="_xlchart.v1.14" hidden="1">summary!$C$2:$C$4</definedName>
    <definedName name="_xlchart.v1.15" hidden="1">summary!$A$2:$A$4</definedName>
    <definedName name="_xlchart.v1.16" hidden="1">summary!$B$1</definedName>
    <definedName name="_xlchart.v1.17" hidden="1">summary!$B$2:$B$4</definedName>
    <definedName name="_xlchart.v1.18" hidden="1">summary!$C$1</definedName>
    <definedName name="_xlchart.v1.19" hidden="1">summary!$C$2:$C$4</definedName>
    <definedName name="_xlchart.v1.2" hidden="1">summary!$B$2:$B$4</definedName>
    <definedName name="_xlchart.v1.20" hidden="1">summary!$A$2:$A$4</definedName>
    <definedName name="_xlchart.v1.21" hidden="1">summary!$B$1</definedName>
    <definedName name="_xlchart.v1.22" hidden="1">summary!$B$2:$B$4</definedName>
    <definedName name="_xlchart.v1.23" hidden="1">summary!$C$1</definedName>
    <definedName name="_xlchart.v1.24" hidden="1">summary!$C$2:$C$4</definedName>
    <definedName name="_xlchart.v1.3" hidden="1">summary!$C$1</definedName>
    <definedName name="_xlchart.v1.4" hidden="1">summary!$C$2:$C$4</definedName>
    <definedName name="_xlchart.v1.5" hidden="1">summary!$A$2:$A$4</definedName>
    <definedName name="_xlchart.v1.6" hidden="1">summary!$B$1</definedName>
    <definedName name="_xlchart.v1.7" hidden="1">summary!$B$2:$B$4</definedName>
    <definedName name="_xlchart.v1.8" hidden="1">summary!$C$1</definedName>
    <definedName name="_xlchart.v1.9" hidden="1">summary!$C$2:$C$4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11" i="1"/>
  <c r="D3" i="1"/>
  <c r="D4" i="1" s="1"/>
  <c r="D5" i="1" s="1"/>
  <c r="D7" i="1"/>
  <c r="D8" i="1" s="1"/>
  <c r="D9" i="1" s="1"/>
  <c r="D12" i="1" l="1"/>
  <c r="D13" i="1" s="1"/>
</calcChain>
</file>

<file path=xl/sharedStrings.xml><?xml version="1.0" encoding="utf-8"?>
<sst xmlns="http://schemas.openxmlformats.org/spreadsheetml/2006/main" count="82" uniqueCount="35">
  <si>
    <t>closed</t>
  </si>
  <si>
    <t>release</t>
  </si>
  <si>
    <t>type</t>
  </si>
  <si>
    <t>state</t>
  </si>
  <si>
    <t>21.x</t>
  </si>
  <si>
    <t>PR</t>
  </si>
  <si>
    <t>merged</t>
  </si>
  <si>
    <t>count</t>
  </si>
  <si>
    <t>source</t>
  </si>
  <si>
    <t>https://github.com/llvm/llvm-project/issues?q=is%3Apr%20milestone%3A%22LLVM%2021.x%20Release%22%20state%3Amerged</t>
  </si>
  <si>
    <t>https://github.com/orgs/llvm/projects/3/views/17</t>
  </si>
  <si>
    <t>https://github.com/llvm/llvm-project/issues?q=is%3Apr%20milestone%3A%22LLVM%2021.x%20Release%22%20state%3Aclosed%20-state%3Amerged</t>
  </si>
  <si>
    <t>comments</t>
  </si>
  <si>
    <t>all</t>
  </si>
  <si>
    <t>22.x</t>
  </si>
  <si>
    <t>https://github.com/orgs/llvm/projects/3/views/19</t>
  </si>
  <si>
    <t>https://github.com/llvm/llvm-project/issues?q=is%3Apr%20milestone%3A%22LLVM%2022.x%20Release%22%20state%3Aclosed%20-state%3Amerged</t>
  </si>
  <si>
    <t>https://github.com/llvm/llvm-project/issues?q=is%3Apr%20milestone%3A%22LLVM%2022.x%20Release%22%20state%3Amerged</t>
  </si>
  <si>
    <t>https://github.com/llvm/llvm-project/issues?q=is%3Apr%20milestone%3A%22LLVM%2022.x%20Release%22</t>
  </si>
  <si>
    <t>https://github.com/llvm/llvm-project/issues?q=is%3Apr%20milestone%3A%22LLVM%2021.x%20Release%22</t>
  </si>
  <si>
    <t>20.x</t>
  </si>
  <si>
    <t>https://github.com/orgs/llvm/projects/3/views/16</t>
  </si>
  <si>
    <t>https://github.com/llvm/llvm-project/issues?q=is%3Apr%20milestone%3A%22LLVM%2020.x%20Release%22%20state%3Aclosed%20-state%3Amerged</t>
  </si>
  <si>
    <t>https://github.com/llvm/llvm-project/issues?q=is%3Apr%20milestone%3A%22LLVM%2020.X%20Release%22%20state%3Amerged</t>
  </si>
  <si>
    <t>https://github.com/llvm/llvm-project/issues?q=is%3Apr%20milestone%3A%22LLVM%2020.X%20Release%22</t>
  </si>
  <si>
    <t>closed can mean manually merged OR won't merge, so we need to minus "won't merge" from closed and add this to merged</t>
  </si>
  <si>
    <t>count should match closed shown from following link</t>
  </si>
  <si>
    <t>issue</t>
  </si>
  <si>
    <t>https://github.com/llvm/llvm-project/issues?q=is%3Aissue%20milestone%3A%22LLVM%2021.x%20Release%22</t>
  </si>
  <si>
    <t>https://github.com/llvm/llvm-project/issues?q=is%3Aissue%20milestone%3A%22LLVM%2022.x%20Release%22</t>
  </si>
  <si>
    <t>https://github.com/llvm/llvm-project/issues?q=is%3Aissue%20milestone%3A%22LLVM%2020.X%20Release%22</t>
  </si>
  <si>
    <t>manually merged</t>
  </si>
  <si>
    <t>rejected</t>
  </si>
  <si>
    <t>this is the total: merged + manually merged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</si>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</sst>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llvm/llvm-project/issues?q=is%3Apr%20milestone%3A%22LLVM%2021.x%20Release%22%20state%3Amerged" TargetMode="External"/><Relationship Id="rId3" Type="http://schemas.openxmlformats.org/officeDocument/2006/relationships/hyperlink" Target="https://github.com/llvm/llvm-project/issues?q=is%3Apr%20milestone%3A%22LLVM%2021.x%20Release%22" TargetMode="External"/><Relationship Id="rId7" Type="http://schemas.openxmlformats.org/officeDocument/2006/relationships/hyperlink" Target="https://github.com/llvm/llvm-project/issues?q=is%3Apr%20milestone%3A%22LLVM%2021.x%20Release%22%20state%3Aclosed%20-state%3Amerged" TargetMode="External"/><Relationship Id="rId12" Type="http://schemas.openxmlformats.org/officeDocument/2006/relationships/hyperlink" Target="https://github.com/llvm/llvm-project/issues?q=is%3Aissue%20milestone%3A%22LLVM%2020.X%20Release%22" TargetMode="External"/><Relationship Id="rId2" Type="http://schemas.openxmlformats.org/officeDocument/2006/relationships/hyperlink" Target="https://github.com/llvm/llvm-project/issues?q=is%3Apr%20milestone%3A%22LLVM%2022.x%20Release%22%20state%3Amerged" TargetMode="External"/><Relationship Id="rId1" Type="http://schemas.openxmlformats.org/officeDocument/2006/relationships/hyperlink" Target="https://github.com/orgs/llvm/projects/3/views/19" TargetMode="External"/><Relationship Id="rId6" Type="http://schemas.openxmlformats.org/officeDocument/2006/relationships/hyperlink" Target="https://github.com/orgs/llvm/projects/3/views/17" TargetMode="External"/><Relationship Id="rId11" Type="http://schemas.openxmlformats.org/officeDocument/2006/relationships/hyperlink" Target="https://github.com/llvm/llvm-project/issues?q=is%3Aissue%20milestone%3A%22LLVM%2022.x%20Release%22" TargetMode="External"/><Relationship Id="rId5" Type="http://schemas.openxmlformats.org/officeDocument/2006/relationships/hyperlink" Target="https://github.com/llvm/llvm-project/issues?q=is%3Apr%20milestone%3A%22LLVM%2022.x%20Release%22%20state%3Aclosed%20-state%3Amerged" TargetMode="External"/><Relationship Id="rId10" Type="http://schemas.openxmlformats.org/officeDocument/2006/relationships/hyperlink" Target="https://github.com/llvm/llvm-project/issues?q=is%3Aissue%20milestone%3A%22LLVM%2021.x%20Release%22" TargetMode="External"/><Relationship Id="rId4" Type="http://schemas.openxmlformats.org/officeDocument/2006/relationships/hyperlink" Target="https://github.com/llvm/llvm-project/issues?q=is%3Apr%20milestone%3A%22LLVM%2022.x%20Release%22" TargetMode="External"/><Relationship Id="rId9" Type="http://schemas.openxmlformats.org/officeDocument/2006/relationships/hyperlink" Target="https://github.com/orgs/llvm/projects/3/views/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C7021-B39C-0E40-905A-4F0145697FC3}">
  <dimension ref="A1:E13"/>
  <sheetViews>
    <sheetView tabSelected="1" workbookViewId="0">
      <selection activeCell="C8" sqref="C8"/>
    </sheetView>
  </sheetViews>
  <sheetFormatPr baseColWidth="10" defaultRowHeight="16" x14ac:dyDescent="0.2"/>
  <cols>
    <col min="3" max="3" width="14.83203125" bestFit="1" customWidth="1"/>
  </cols>
  <sheetData>
    <row r="1" spans="1:5" x14ac:dyDescent="0.2">
      <c r="A1" t="s">
        <v>1</v>
      </c>
      <c r="B1" t="s">
        <v>32</v>
      </c>
      <c r="C1" t="s">
        <v>6</v>
      </c>
      <c r="D1" t="s">
        <v>34</v>
      </c>
    </row>
    <row r="2" spans="1:5" x14ac:dyDescent="0.2">
      <c r="A2" t="s">
        <v>14</v>
      </c>
      <c r="B2">
        <v>14</v>
      </c>
      <c r="C2">
        <v>365</v>
      </c>
      <c r="D2">
        <f>SUM(B2:C2)</f>
        <v>379</v>
      </c>
    </row>
    <row r="3" spans="1:5" x14ac:dyDescent="0.2">
      <c r="A3" t="s">
        <v>4</v>
      </c>
      <c r="B3">
        <v>43</v>
      </c>
      <c r="C3">
        <v>539</v>
      </c>
      <c r="D3">
        <f t="shared" ref="D3:D4" si="0">SUM(B3:C3)</f>
        <v>582</v>
      </c>
    </row>
    <row r="4" spans="1:5" x14ac:dyDescent="0.2">
      <c r="A4" t="s">
        <v>20</v>
      </c>
      <c r="B4">
        <v>7</v>
      </c>
      <c r="C4">
        <v>640</v>
      </c>
      <c r="D4">
        <f t="shared" si="0"/>
        <v>647</v>
      </c>
    </row>
    <row r="5" spans="1:5" x14ac:dyDescent="0.2">
      <c r="E5" s="1"/>
    </row>
    <row r="6" spans="1:5" x14ac:dyDescent="0.2">
      <c r="E6" s="1"/>
    </row>
    <row r="7" spans="1:5" x14ac:dyDescent="0.2">
      <c r="E7" s="1"/>
    </row>
    <row r="8" spans="1:5" x14ac:dyDescent="0.2">
      <c r="E8" s="1"/>
    </row>
    <row r="9" spans="1:5" x14ac:dyDescent="0.2">
      <c r="E9" s="1"/>
    </row>
    <row r="10" spans="1:5" x14ac:dyDescent="0.2">
      <c r="E10" s="1"/>
    </row>
    <row r="11" spans="1:5" x14ac:dyDescent="0.2">
      <c r="E11" s="1"/>
    </row>
    <row r="12" spans="1:5" x14ac:dyDescent="0.2">
      <c r="E12" s="1"/>
    </row>
    <row r="13" spans="1:5" x14ac:dyDescent="0.2">
      <c r="E1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6FB31-FE72-B04A-8265-06B858AAD1A4}">
  <dimension ref="A1:F16"/>
  <sheetViews>
    <sheetView workbookViewId="0">
      <selection activeCell="E54" sqref="E54"/>
    </sheetView>
  </sheetViews>
  <sheetFormatPr baseColWidth="10" defaultRowHeight="16" x14ac:dyDescent="0.2"/>
  <cols>
    <col min="1" max="1" width="7.1640625" bestFit="1" customWidth="1"/>
    <col min="2" max="2" width="5.33203125" bestFit="1" customWidth="1"/>
    <col min="3" max="3" width="14.83203125" bestFit="1" customWidth="1"/>
    <col min="4" max="4" width="5.83203125" bestFit="1" customWidth="1"/>
    <col min="5" max="5" width="126.6640625" bestFit="1" customWidth="1"/>
    <col min="6" max="6" width="100.5" bestFit="1" customWidth="1"/>
  </cols>
  <sheetData>
    <row r="1" spans="1:6" x14ac:dyDescent="0.2">
      <c r="A1" t="s">
        <v>1</v>
      </c>
      <c r="B1" t="s">
        <v>2</v>
      </c>
      <c r="C1" t="s">
        <v>3</v>
      </c>
      <c r="D1" t="s">
        <v>7</v>
      </c>
      <c r="E1" t="s">
        <v>8</v>
      </c>
      <c r="F1" t="s">
        <v>12</v>
      </c>
    </row>
    <row r="2" spans="1:6" x14ac:dyDescent="0.2">
      <c r="A2" t="s">
        <v>14</v>
      </c>
      <c r="B2" t="s">
        <v>5</v>
      </c>
      <c r="C2" t="s">
        <v>32</v>
      </c>
      <c r="D2">
        <v>14</v>
      </c>
      <c r="E2" s="1" t="s">
        <v>15</v>
      </c>
    </row>
    <row r="3" spans="1:6" x14ac:dyDescent="0.2">
      <c r="A3" t="s">
        <v>14</v>
      </c>
      <c r="B3" t="s">
        <v>5</v>
      </c>
      <c r="C3" t="s">
        <v>31</v>
      </c>
      <c r="D3">
        <f>49-D2</f>
        <v>35</v>
      </c>
      <c r="E3" s="1" t="s">
        <v>16</v>
      </c>
      <c r="F3" t="s">
        <v>25</v>
      </c>
    </row>
    <row r="4" spans="1:6" x14ac:dyDescent="0.2">
      <c r="A4" t="s">
        <v>14</v>
      </c>
      <c r="B4" t="s">
        <v>5</v>
      </c>
      <c r="C4" t="s">
        <v>6</v>
      </c>
      <c r="D4">
        <f>330+D3</f>
        <v>365</v>
      </c>
      <c r="E4" s="1" t="s">
        <v>17</v>
      </c>
      <c r="F4" t="s">
        <v>33</v>
      </c>
    </row>
    <row r="5" spans="1:6" x14ac:dyDescent="0.2">
      <c r="A5" t="s">
        <v>14</v>
      </c>
      <c r="B5" t="s">
        <v>5</v>
      </c>
      <c r="C5" t="s">
        <v>13</v>
      </c>
      <c r="D5">
        <f>SUM(D2, D4)</f>
        <v>379</v>
      </c>
      <c r="E5" s="1" t="s">
        <v>18</v>
      </c>
      <c r="F5" t="s">
        <v>26</v>
      </c>
    </row>
    <row r="6" spans="1:6" x14ac:dyDescent="0.2">
      <c r="A6" t="s">
        <v>4</v>
      </c>
      <c r="B6" t="s">
        <v>5</v>
      </c>
      <c r="C6" t="s">
        <v>32</v>
      </c>
      <c r="D6">
        <v>43</v>
      </c>
      <c r="E6" s="1" t="s">
        <v>10</v>
      </c>
    </row>
    <row r="7" spans="1:6" x14ac:dyDescent="0.2">
      <c r="A7" t="s">
        <v>4</v>
      </c>
      <c r="B7" t="s">
        <v>5</v>
      </c>
      <c r="C7" t="s">
        <v>31</v>
      </c>
      <c r="D7">
        <f>68-D6</f>
        <v>25</v>
      </c>
      <c r="E7" s="1" t="s">
        <v>11</v>
      </c>
      <c r="F7" t="s">
        <v>25</v>
      </c>
    </row>
    <row r="8" spans="1:6" x14ac:dyDescent="0.2">
      <c r="A8" t="s">
        <v>4</v>
      </c>
      <c r="B8" t="s">
        <v>5</v>
      </c>
      <c r="C8" t="s">
        <v>6</v>
      </c>
      <c r="D8">
        <f>514+D7</f>
        <v>539</v>
      </c>
      <c r="E8" s="1" t="s">
        <v>9</v>
      </c>
      <c r="F8" t="s">
        <v>33</v>
      </c>
    </row>
    <row r="9" spans="1:6" x14ac:dyDescent="0.2">
      <c r="A9" t="s">
        <v>4</v>
      </c>
      <c r="B9" t="s">
        <v>5</v>
      </c>
      <c r="C9" t="s">
        <v>13</v>
      </c>
      <c r="D9">
        <f>SUM(D6, D8)</f>
        <v>582</v>
      </c>
      <c r="E9" s="1" t="s">
        <v>19</v>
      </c>
      <c r="F9" t="s">
        <v>26</v>
      </c>
    </row>
    <row r="10" spans="1:6" x14ac:dyDescent="0.2">
      <c r="A10" t="s">
        <v>20</v>
      </c>
      <c r="B10" t="s">
        <v>5</v>
      </c>
      <c r="C10" t="s">
        <v>32</v>
      </c>
      <c r="D10">
        <v>7</v>
      </c>
      <c r="E10" s="1" t="s">
        <v>21</v>
      </c>
    </row>
    <row r="11" spans="1:6" x14ac:dyDescent="0.2">
      <c r="A11" t="s">
        <v>20</v>
      </c>
      <c r="B11" t="s">
        <v>5</v>
      </c>
      <c r="C11" t="s">
        <v>31</v>
      </c>
      <c r="D11">
        <f>53-D10</f>
        <v>46</v>
      </c>
      <c r="E11" s="1" t="s">
        <v>22</v>
      </c>
      <c r="F11" t="s">
        <v>25</v>
      </c>
    </row>
    <row r="12" spans="1:6" x14ac:dyDescent="0.2">
      <c r="A12" t="s">
        <v>20</v>
      </c>
      <c r="B12" t="s">
        <v>5</v>
      </c>
      <c r="C12" t="s">
        <v>6</v>
      </c>
      <c r="D12">
        <f>594+D11</f>
        <v>640</v>
      </c>
      <c r="E12" s="1" t="s">
        <v>23</v>
      </c>
      <c r="F12" t="s">
        <v>33</v>
      </c>
    </row>
    <row r="13" spans="1:6" x14ac:dyDescent="0.2">
      <c r="A13" t="s">
        <v>20</v>
      </c>
      <c r="B13" t="s">
        <v>5</v>
      </c>
      <c r="C13" t="s">
        <v>13</v>
      </c>
      <c r="D13">
        <f>SUM(D10, D12)</f>
        <v>647</v>
      </c>
      <c r="E13" s="1" t="s">
        <v>24</v>
      </c>
      <c r="F13" t="s">
        <v>26</v>
      </c>
    </row>
    <row r="14" spans="1:6" x14ac:dyDescent="0.2">
      <c r="A14" t="s">
        <v>14</v>
      </c>
      <c r="B14" t="s">
        <v>27</v>
      </c>
      <c r="C14" t="s">
        <v>0</v>
      </c>
      <c r="D14">
        <v>50</v>
      </c>
      <c r="E14" s="1" t="s">
        <v>29</v>
      </c>
    </row>
    <row r="15" spans="1:6" x14ac:dyDescent="0.2">
      <c r="A15" t="s">
        <v>4</v>
      </c>
      <c r="B15" t="s">
        <v>27</v>
      </c>
      <c r="C15" t="s">
        <v>0</v>
      </c>
      <c r="D15">
        <v>122</v>
      </c>
      <c r="E15" s="1" t="s">
        <v>28</v>
      </c>
    </row>
    <row r="16" spans="1:6" x14ac:dyDescent="0.2">
      <c r="A16" t="s">
        <v>20</v>
      </c>
      <c r="B16" t="s">
        <v>27</v>
      </c>
      <c r="C16" t="s">
        <v>0</v>
      </c>
      <c r="D16">
        <v>125</v>
      </c>
      <c r="E16" s="1" t="s">
        <v>30</v>
      </c>
    </row>
  </sheetData>
  <hyperlinks>
    <hyperlink ref="E2" r:id="rId1" xr:uid="{680251A8-C019-3A46-8846-34A55D2831EA}"/>
    <hyperlink ref="E4" r:id="rId2" xr:uid="{F96F7B61-E53B-6B40-96E3-EDC68F2C899F}"/>
    <hyperlink ref="E9" r:id="rId3" xr:uid="{3ACCDF91-BF39-D24F-AE18-61040A1CE8C1}"/>
    <hyperlink ref="E5" r:id="rId4" xr:uid="{06597192-D37B-324B-BBE4-B791CA22469A}"/>
    <hyperlink ref="E3" r:id="rId5" xr:uid="{06F964C3-2E7A-F048-892E-9F9179EF4C3D}"/>
    <hyperlink ref="E6" r:id="rId6" xr:uid="{F33BD4EB-D265-2A40-8DF4-A6DDEDED9838}"/>
    <hyperlink ref="E7" r:id="rId7" xr:uid="{D3AB7870-C3DB-644D-BB77-F83EB4304B21}"/>
    <hyperlink ref="E8" r:id="rId8" xr:uid="{921AB4BD-FCB4-2D4C-9A20-9744667C98BE}"/>
    <hyperlink ref="E10" r:id="rId9" xr:uid="{34BCDF38-A284-5842-B535-86053E5FEF38}"/>
    <hyperlink ref="E15" r:id="rId10" xr:uid="{C3D0ACBE-0698-084A-8E4A-AE479733D273}"/>
    <hyperlink ref="E14" r:id="rId11" xr:uid="{E07C057A-79D8-FD46-BE5F-3AB61F2B72EA}"/>
    <hyperlink ref="E16" r:id="rId12" xr:uid="{EF81E446-3F99-1F48-8A28-C8B6D2C31DA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Cullen Rhodes</dc:creator>
  <cp:lastModifiedBy>Cullen Rhodes</cp:lastModifiedBy>
  <dcterms:created xsi:type="dcterms:W3CDTF">2026-02-26T09:13:17Z</dcterms:created>
  <dcterms:modified xsi:type="dcterms:W3CDTF">2026-02-26T11:37:57Z</dcterms:modified>
</cp:coreProperties>
</file>